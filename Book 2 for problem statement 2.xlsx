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60" windowWidth="20055" windowHeight="7950"/>
  </bookViews>
  <sheets>
    <sheet name="Sheet1" sheetId="1" r:id="rId1"/>
    <sheet name="Sheet2" sheetId="2" r:id="rId2"/>
    <sheet name="Sheet3" sheetId="3" r:id="rId3"/>
  </sheets>
  <calcPr calcId="124519"/>
  <fileRecoveryPr repairLoad="1"/>
</workbook>
</file>

<file path=xl/calcChain.xml><?xml version="1.0" encoding="utf-8"?>
<calcChain xmlns="http://schemas.openxmlformats.org/spreadsheetml/2006/main">
  <c r="F10" i="1"/>
  <c r="F6"/>
  <c r="F11" s="1"/>
  <c r="F12" l="1"/>
  <c r="L5" s="1"/>
</calcChain>
</file>

<file path=xl/sharedStrings.xml><?xml version="1.0" encoding="utf-8"?>
<sst xmlns="http://schemas.openxmlformats.org/spreadsheetml/2006/main" count="27" uniqueCount="23">
  <si>
    <t xml:space="preserve">Quality Sweater Company </t>
  </si>
  <si>
    <t>Fixed Cost</t>
  </si>
  <si>
    <t>Variable Cost:</t>
  </si>
  <si>
    <t>Printing Cost</t>
  </si>
  <si>
    <t>per catalog</t>
  </si>
  <si>
    <t>Mailing Cost</t>
  </si>
  <si>
    <t>Response Cost</t>
  </si>
  <si>
    <t>per order</t>
  </si>
  <si>
    <t xml:space="preserve">Average size of customer order </t>
  </si>
  <si>
    <t>Response Rate</t>
  </si>
  <si>
    <t>Revenue</t>
  </si>
  <si>
    <t>Total Cost</t>
  </si>
  <si>
    <t>Total Profit</t>
  </si>
  <si>
    <t>F10-F11</t>
  </si>
  <si>
    <t>"Dummy Number"</t>
  </si>
  <si>
    <t xml:space="preserve">Labor + Material </t>
  </si>
  <si>
    <t>Ordered</t>
  </si>
  <si>
    <t>Total Orders</t>
  </si>
  <si>
    <t>B11*F4</t>
  </si>
  <si>
    <t>F6*B13</t>
  </si>
  <si>
    <t>B3+(B5+B6)*B11+(B7+B8)*F6</t>
  </si>
  <si>
    <t>F12</t>
  </si>
  <si>
    <t>Data Table</t>
  </si>
</sst>
</file>

<file path=xl/styles.xml><?xml version="1.0" encoding="utf-8"?>
<styleSheet xmlns="http://schemas.openxmlformats.org/spreadsheetml/2006/main">
  <numFmts count="3">
    <numFmt numFmtId="164" formatCode="_ &quot;₹&quot;\ * #,##0_ ;_ &quot;₹&quot;\ * \-#,##0_ ;_ &quot;₹&quot;\ * &quot;-&quot;??_ ;_ @_ "/>
    <numFmt numFmtId="165" formatCode="&quot;₹&quot;\ #,##0.00"/>
    <numFmt numFmtId="166" formatCode="&quot;₹&quot;\ #,##0"/>
  </numFmts>
  <fonts count="2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1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9" fontId="0" fillId="3" borderId="0" xfId="0" applyNumberFormat="1" applyFill="1"/>
    <xf numFmtId="0" fontId="0" fillId="0" borderId="1" xfId="0" applyBorder="1"/>
    <xf numFmtId="164" fontId="0" fillId="0" borderId="1" xfId="0" applyNumberFormat="1" applyBorder="1"/>
    <xf numFmtId="9" fontId="0" fillId="0" borderId="1" xfId="0" applyNumberFormat="1" applyBorder="1"/>
    <xf numFmtId="10" fontId="0" fillId="0" borderId="1" xfId="0" applyNumberFormat="1" applyBorder="1"/>
    <xf numFmtId="0" fontId="1" fillId="2" borderId="0" xfId="1" applyAlignment="1">
      <alignment horizontal="center"/>
    </xf>
    <xf numFmtId="0" fontId="0" fillId="4" borderId="0" xfId="0" applyFill="1" applyAlignment="1">
      <alignment horizontal="center"/>
    </xf>
  </cellXfs>
  <cellStyles count="2">
    <cellStyle name="Good" xfId="1" builtinId="26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15"/>
  <sheetViews>
    <sheetView tabSelected="1" workbookViewId="0">
      <selection activeCell="H16" sqref="H16"/>
    </sheetView>
  </sheetViews>
  <sheetFormatPr defaultRowHeight="15"/>
  <cols>
    <col min="2" max="2" width="11.5703125" bestFit="1" customWidth="1"/>
    <col min="6" max="6" width="12.28515625" bestFit="1" customWidth="1"/>
    <col min="12" max="12" width="12.28515625" bestFit="1" customWidth="1"/>
  </cols>
  <sheetData>
    <row r="1" spans="1:13">
      <c r="A1" s="9" t="s">
        <v>0</v>
      </c>
      <c r="B1" s="9"/>
      <c r="C1" s="9"/>
    </row>
    <row r="2" spans="1:13">
      <c r="K2" s="10" t="s">
        <v>22</v>
      </c>
      <c r="L2" s="10"/>
    </row>
    <row r="3" spans="1:13">
      <c r="A3" t="s">
        <v>1</v>
      </c>
      <c r="B3" s="1">
        <v>20000</v>
      </c>
    </row>
    <row r="4" spans="1:13">
      <c r="A4" t="s">
        <v>2</v>
      </c>
      <c r="E4" t="s">
        <v>9</v>
      </c>
      <c r="F4" s="4">
        <v>0.05</v>
      </c>
      <c r="G4" t="s">
        <v>14</v>
      </c>
      <c r="K4" s="5" t="s">
        <v>9</v>
      </c>
      <c r="L4" s="5" t="s">
        <v>12</v>
      </c>
    </row>
    <row r="5" spans="1:13">
      <c r="A5" t="s">
        <v>3</v>
      </c>
      <c r="B5" s="2">
        <v>0.1</v>
      </c>
      <c r="C5" t="s">
        <v>4</v>
      </c>
      <c r="K5" s="5"/>
      <c r="L5" s="6">
        <f>F12</f>
        <v>-6000</v>
      </c>
      <c r="M5" t="s">
        <v>21</v>
      </c>
    </row>
    <row r="6" spans="1:13">
      <c r="A6" t="s">
        <v>5</v>
      </c>
      <c r="B6" s="2">
        <v>0.15</v>
      </c>
      <c r="C6" t="s">
        <v>4</v>
      </c>
      <c r="E6" t="s">
        <v>17</v>
      </c>
      <c r="F6">
        <f>B11*F4</f>
        <v>5000</v>
      </c>
      <c r="G6" t="s">
        <v>18</v>
      </c>
      <c r="K6" s="7">
        <v>0.03</v>
      </c>
      <c r="L6" s="6">
        <f t="dataTable" ref="L6:L15" dt2D="0" dtr="0" r1="F4"/>
        <v>-21600</v>
      </c>
    </row>
    <row r="7" spans="1:13">
      <c r="A7" t="s">
        <v>6</v>
      </c>
      <c r="B7" s="2">
        <v>0.2</v>
      </c>
      <c r="C7" t="s">
        <v>7</v>
      </c>
      <c r="K7" s="8">
        <v>3.5000000000000003E-2</v>
      </c>
      <c r="L7" s="6">
        <v>-17700</v>
      </c>
    </row>
    <row r="8" spans="1:13">
      <c r="A8" t="s">
        <v>15</v>
      </c>
      <c r="B8" s="3">
        <v>32</v>
      </c>
      <c r="C8" t="s">
        <v>7</v>
      </c>
      <c r="K8" s="7">
        <v>0.04</v>
      </c>
      <c r="L8" s="6">
        <v>-13800</v>
      </c>
    </row>
    <row r="9" spans="1:13">
      <c r="B9" s="3"/>
      <c r="K9" s="8">
        <v>4.4999999999999998E-2</v>
      </c>
      <c r="L9" s="6">
        <v>-9900</v>
      </c>
    </row>
    <row r="10" spans="1:13">
      <c r="E10" t="s">
        <v>10</v>
      </c>
      <c r="F10" s="3">
        <f>F6*B13</f>
        <v>200000</v>
      </c>
      <c r="G10" t="s">
        <v>19</v>
      </c>
      <c r="K10" s="7">
        <v>0.05</v>
      </c>
      <c r="L10" s="6">
        <v>-6000</v>
      </c>
    </row>
    <row r="11" spans="1:13">
      <c r="A11" t="s">
        <v>16</v>
      </c>
      <c r="B11">
        <v>100000</v>
      </c>
      <c r="E11" t="s">
        <v>11</v>
      </c>
      <c r="F11" s="3">
        <f>B3+(B5+B6)*B11+(B7+B8)*F6</f>
        <v>206000</v>
      </c>
      <c r="G11" t="s">
        <v>20</v>
      </c>
      <c r="K11" s="8">
        <v>5.5E-2</v>
      </c>
      <c r="L11" s="6">
        <v>-2100.0000000000291</v>
      </c>
    </row>
    <row r="12" spans="1:13">
      <c r="E12" t="s">
        <v>12</v>
      </c>
      <c r="F12" s="1">
        <f>F10-F11</f>
        <v>-6000</v>
      </c>
      <c r="G12" t="s">
        <v>13</v>
      </c>
      <c r="K12" s="7">
        <v>0.06</v>
      </c>
      <c r="L12" s="6">
        <v>1799.9999999999709</v>
      </c>
    </row>
    <row r="13" spans="1:13">
      <c r="A13" t="s">
        <v>8</v>
      </c>
      <c r="B13" s="3">
        <v>40</v>
      </c>
      <c r="K13" s="7">
        <v>6.5000000000000002E-2</v>
      </c>
      <c r="L13" s="6">
        <v>5699.9999999999709</v>
      </c>
    </row>
    <row r="14" spans="1:13">
      <c r="K14" s="8">
        <v>7.0000000000000007E-2</v>
      </c>
      <c r="L14" s="6">
        <v>9600</v>
      </c>
    </row>
    <row r="15" spans="1:13">
      <c r="K15" s="7">
        <v>7.4999999999999997E-2</v>
      </c>
      <c r="L15" s="6">
        <v>13500</v>
      </c>
    </row>
  </sheetData>
  <mergeCells count="2">
    <mergeCell ref="A1:C1"/>
    <mergeCell ref="K2:L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JCT</dc:creator>
  <cp:lastModifiedBy>JCT</cp:lastModifiedBy>
  <dcterms:created xsi:type="dcterms:W3CDTF">2026-06-07T07:43:26Z</dcterms:created>
  <dcterms:modified xsi:type="dcterms:W3CDTF">2026-06-07T09:21:44Z</dcterms:modified>
</cp:coreProperties>
</file>