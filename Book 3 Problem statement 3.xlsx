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" windowWidth="16215" windowHeight="795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D23" i="1"/>
  <c r="G23" s="1"/>
  <c r="K23" s="1"/>
  <c r="D22"/>
  <c r="I22" s="1"/>
  <c r="U20"/>
  <c r="T20"/>
  <c r="S20"/>
  <c r="U9"/>
  <c r="U10"/>
  <c r="U11"/>
  <c r="U12"/>
  <c r="U13"/>
  <c r="U14"/>
  <c r="U15"/>
  <c r="U16"/>
  <c r="U17"/>
  <c r="U18"/>
  <c r="U19"/>
  <c r="U8"/>
  <c r="T9"/>
  <c r="T10"/>
  <c r="T11"/>
  <c r="T12"/>
  <c r="T13"/>
  <c r="T14"/>
  <c r="T15"/>
  <c r="T16"/>
  <c r="T17"/>
  <c r="T18"/>
  <c r="T19"/>
  <c r="T8"/>
  <c r="S19"/>
  <c r="S9"/>
  <c r="S10"/>
  <c r="S11"/>
  <c r="S12"/>
  <c r="S13"/>
  <c r="S14"/>
  <c r="S15"/>
  <c r="S16"/>
  <c r="S17"/>
  <c r="S18"/>
  <c r="S8"/>
  <c r="Q9"/>
  <c r="Q10"/>
  <c r="Q11"/>
  <c r="Q12"/>
  <c r="Q13"/>
  <c r="Q14"/>
  <c r="Q15"/>
  <c r="Q16"/>
  <c r="Q17"/>
  <c r="Q18"/>
  <c r="Q19"/>
  <c r="Q8"/>
  <c r="P9"/>
  <c r="P10"/>
  <c r="P11"/>
  <c r="P12"/>
  <c r="P13"/>
  <c r="P14"/>
  <c r="P15"/>
  <c r="P16"/>
  <c r="P17"/>
  <c r="P18"/>
  <c r="P19"/>
  <c r="P8"/>
  <c r="O9"/>
  <c r="O10"/>
  <c r="O11"/>
  <c r="O12"/>
  <c r="O13"/>
  <c r="O14"/>
  <c r="O15"/>
  <c r="O16"/>
  <c r="O17"/>
  <c r="O18"/>
  <c r="O19"/>
  <c r="O8"/>
  <c r="G22" l="1"/>
  <c r="K22" s="1"/>
  <c r="M22" s="1"/>
  <c r="I23"/>
  <c r="M23" s="1"/>
  <c r="F28" l="1"/>
  <c r="K28"/>
</calcChain>
</file>

<file path=xl/sharedStrings.xml><?xml version="1.0" encoding="utf-8"?>
<sst xmlns="http://schemas.openxmlformats.org/spreadsheetml/2006/main" count="50" uniqueCount="35">
  <si>
    <t>Month</t>
  </si>
  <si>
    <t>Price</t>
  </si>
  <si>
    <t>Demand</t>
  </si>
  <si>
    <t>Linear</t>
  </si>
  <si>
    <t>Intercept</t>
  </si>
  <si>
    <t>Slope</t>
  </si>
  <si>
    <t>Power: y=ax^b</t>
  </si>
  <si>
    <t>Constant</t>
  </si>
  <si>
    <t>Exponent</t>
  </si>
  <si>
    <t>Exponential: y=ae^(bx)</t>
  </si>
  <si>
    <t>Prediction Based Model</t>
  </si>
  <si>
    <t>Power</t>
  </si>
  <si>
    <t>Exponential</t>
  </si>
  <si>
    <t>Absolute Percent Error</t>
  </si>
  <si>
    <t>Average:</t>
  </si>
  <si>
    <t>Model The Business</t>
  </si>
  <si>
    <t>Unit Cost</t>
  </si>
  <si>
    <t>Sale Price</t>
  </si>
  <si>
    <t xml:space="preserve">From the model </t>
  </si>
  <si>
    <t>per set of clubs</t>
  </si>
  <si>
    <t>multiple of 10</t>
  </si>
  <si>
    <t>Power Model</t>
  </si>
  <si>
    <t>Exponential Model</t>
  </si>
  <si>
    <t>Actual Demand</t>
  </si>
  <si>
    <t>Total Cost</t>
  </si>
  <si>
    <t>D19*D22</t>
  </si>
  <si>
    <t>D19*D23</t>
  </si>
  <si>
    <t>D22*100</t>
  </si>
  <si>
    <t>D23*100</t>
  </si>
  <si>
    <t>Revenue</t>
  </si>
  <si>
    <t>G22*D20</t>
  </si>
  <si>
    <t>G23*D20</t>
  </si>
  <si>
    <t>Profit</t>
  </si>
  <si>
    <t>K22-I22</t>
  </si>
  <si>
    <t>K23-I23</t>
  </si>
</sst>
</file>

<file path=xl/styles.xml><?xml version="1.0" encoding="utf-8"?>
<styleSheet xmlns="http://schemas.openxmlformats.org/spreadsheetml/2006/main">
  <numFmts count="2">
    <numFmt numFmtId="44" formatCode="_ &quot;₹&quot;\ * #,##0.00_ ;_ &quot;₹&quot;\ * \-#,##0.00_ ;_ &quot;₹&quot;\ * &quot;-&quot;??_ ;_ @_ "/>
    <numFmt numFmtId="170" formatCode="_ &quot;₹&quot;\ * #,##0_ ;_ &quot;₹&quot;\ * \-#,##0_ ;_ &quot;₹&quot;\ * &quot;-&quot;??_ ;_ @_ 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</cellStyleXfs>
  <cellXfs count="20">
    <xf numFmtId="0" fontId="0" fillId="0" borderId="0" xfId="0"/>
    <xf numFmtId="0" fontId="0" fillId="0" borderId="1" xfId="0" applyBorder="1"/>
    <xf numFmtId="0" fontId="0" fillId="0" borderId="1" xfId="0" applyFill="1" applyBorder="1"/>
    <xf numFmtId="3" fontId="0" fillId="0" borderId="1" xfId="0" applyNumberFormat="1" applyBorder="1"/>
    <xf numFmtId="0" fontId="0" fillId="0" borderId="0" xfId="0" applyAlignment="1">
      <alignment horizontal="center"/>
    </xf>
    <xf numFmtId="0" fontId="3" fillId="2" borderId="0" xfId="2" applyAlignment="1">
      <alignment horizontal="center"/>
    </xf>
    <xf numFmtId="9" fontId="0" fillId="0" borderId="1" xfId="1" applyFont="1" applyBorder="1"/>
    <xf numFmtId="0" fontId="3" fillId="3" borderId="0" xfId="3"/>
    <xf numFmtId="9" fontId="3" fillId="3" borderId="0" xfId="3" applyNumberFormat="1"/>
    <xf numFmtId="0" fontId="0" fillId="5" borderId="0" xfId="0" applyFill="1"/>
    <xf numFmtId="44" fontId="0" fillId="0" borderId="0" xfId="0" applyNumberFormat="1"/>
    <xf numFmtId="170" fontId="0" fillId="0" borderId="0" xfId="0" applyNumberFormat="1"/>
    <xf numFmtId="170" fontId="0" fillId="4" borderId="0" xfId="0" applyNumberFormat="1" applyFill="1"/>
    <xf numFmtId="2" fontId="0" fillId="0" borderId="0" xfId="0" applyNumberFormat="1"/>
    <xf numFmtId="0" fontId="2" fillId="0" borderId="0" xfId="0" applyFont="1"/>
    <xf numFmtId="0" fontId="0" fillId="0" borderId="0" xfId="0" applyAlignment="1"/>
    <xf numFmtId="0" fontId="0" fillId="0" borderId="1" xfId="0" applyBorder="1" applyAlignment="1">
      <alignment horizontal="center"/>
    </xf>
    <xf numFmtId="44" fontId="0" fillId="0" borderId="1" xfId="0" applyNumberFormat="1" applyBorder="1"/>
    <xf numFmtId="0" fontId="0" fillId="0" borderId="1" xfId="0" applyBorder="1" applyAlignment="1">
      <alignment horizontal="center" vertical="center" textRotation="90"/>
    </xf>
    <xf numFmtId="170" fontId="0" fillId="0" borderId="1" xfId="0" applyNumberFormat="1" applyBorder="1"/>
  </cellXfs>
  <cellStyles count="4">
    <cellStyle name="60% - Accent2" xfId="2" builtinId="36"/>
    <cellStyle name="60% - Accent3" xfId="3" builtinId="40"/>
    <cellStyle name="Normal" xfId="0" builtinId="0"/>
    <cellStyle name="Percent" xfId="1" builtinId="5"/>
  </cellStyles>
  <dxfs count="9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5"/>
  <c:chart>
    <c:title>
      <c:layout/>
    </c:title>
    <c:plotArea>
      <c:layout>
        <c:manualLayout>
          <c:layoutTarget val="inner"/>
          <c:xMode val="edge"/>
          <c:yMode val="edge"/>
          <c:x val="8.4682852143482062E-2"/>
          <c:y val="0.20869240303295422"/>
          <c:w val="0.69031146106736663"/>
          <c:h val="0.65482210557013709"/>
        </c:manualLayout>
      </c:layout>
      <c:scatterChart>
        <c:scatterStyle val="lineMarker"/>
        <c:ser>
          <c:idx val="0"/>
          <c:order val="0"/>
          <c:tx>
            <c:strRef>
              <c:f>Sheet1!$C$2</c:f>
              <c:strCache>
                <c:ptCount val="1"/>
                <c:pt idx="0">
                  <c:v>Demand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</c:trendline>
          <c:trendline>
            <c:trendlineType val="linear"/>
            <c:dispEq val="1"/>
            <c:trendlineLbl>
              <c:layout>
                <c:manualLayout>
                  <c:x val="0.18318241469816274"/>
                  <c:y val="-0.57670129775444734"/>
                </c:manualLayout>
              </c:layout>
              <c:numFmt formatCode="General" sourceLinked="0"/>
            </c:trendlineLbl>
          </c:trendline>
          <c:trendline>
            <c:trendlineType val="power"/>
            <c:dispEq val="1"/>
            <c:trendlineLbl>
              <c:layout>
                <c:manualLayout>
                  <c:x val="0.26032152230971128"/>
                  <c:y val="-0.59226633129192185"/>
                </c:manualLayout>
              </c:layout>
              <c:numFmt formatCode="#,##0.00" sourceLinked="0"/>
            </c:trendlineLbl>
          </c:trendline>
          <c:trendline>
            <c:trendlineType val="exp"/>
          </c:trendline>
          <c:trendline>
            <c:trendlineType val="exp"/>
            <c:dispEq val="1"/>
            <c:trendlineLbl>
              <c:layout>
                <c:manualLayout>
                  <c:x val="-0.30562292213473313"/>
                  <c:y val="-0.64102034120734908"/>
                </c:manualLayout>
              </c:layout>
              <c:numFmt formatCode="General" sourceLinked="0"/>
            </c:trendlineLbl>
          </c:trendline>
          <c:xVal>
            <c:numRef>
              <c:f>Sheet1!$B$3:$B$14</c:f>
              <c:numCache>
                <c:formatCode>General</c:formatCode>
                <c:ptCount val="12"/>
                <c:pt idx="0">
                  <c:v>450</c:v>
                </c:pt>
                <c:pt idx="1">
                  <c:v>300</c:v>
                </c:pt>
                <c:pt idx="2">
                  <c:v>440</c:v>
                </c:pt>
                <c:pt idx="3">
                  <c:v>360</c:v>
                </c:pt>
                <c:pt idx="4">
                  <c:v>290</c:v>
                </c:pt>
                <c:pt idx="5">
                  <c:v>450</c:v>
                </c:pt>
                <c:pt idx="6">
                  <c:v>340</c:v>
                </c:pt>
                <c:pt idx="7">
                  <c:v>370</c:v>
                </c:pt>
                <c:pt idx="8">
                  <c:v>500</c:v>
                </c:pt>
                <c:pt idx="9">
                  <c:v>490</c:v>
                </c:pt>
                <c:pt idx="10">
                  <c:v>430</c:v>
                </c:pt>
                <c:pt idx="11">
                  <c:v>390</c:v>
                </c:pt>
              </c:numCache>
            </c:numRef>
          </c:xVal>
          <c:yVal>
            <c:numRef>
              <c:f>Sheet1!$C$3:$C$14</c:f>
              <c:numCache>
                <c:formatCode>General</c:formatCode>
                <c:ptCount val="12"/>
                <c:pt idx="0">
                  <c:v>45</c:v>
                </c:pt>
                <c:pt idx="1">
                  <c:v>103</c:v>
                </c:pt>
                <c:pt idx="2">
                  <c:v>49</c:v>
                </c:pt>
                <c:pt idx="3">
                  <c:v>86</c:v>
                </c:pt>
                <c:pt idx="4">
                  <c:v>125</c:v>
                </c:pt>
                <c:pt idx="5">
                  <c:v>52</c:v>
                </c:pt>
                <c:pt idx="6">
                  <c:v>87</c:v>
                </c:pt>
                <c:pt idx="7">
                  <c:v>68</c:v>
                </c:pt>
                <c:pt idx="8">
                  <c:v>45</c:v>
                </c:pt>
                <c:pt idx="9">
                  <c:v>44</c:v>
                </c:pt>
                <c:pt idx="10">
                  <c:v>58</c:v>
                </c:pt>
                <c:pt idx="11">
                  <c:v>68</c:v>
                </c:pt>
              </c:numCache>
            </c:numRef>
          </c:yVal>
        </c:ser>
        <c:axId val="149656704"/>
        <c:axId val="86429056"/>
      </c:scatterChart>
      <c:valAx>
        <c:axId val="149656704"/>
        <c:scaling>
          <c:orientation val="minMax"/>
        </c:scaling>
        <c:axPos val="b"/>
        <c:numFmt formatCode="General" sourceLinked="1"/>
        <c:tickLblPos val="nextTo"/>
        <c:crossAx val="86429056"/>
        <c:crosses val="autoZero"/>
        <c:crossBetween val="midCat"/>
      </c:valAx>
      <c:valAx>
        <c:axId val="86429056"/>
        <c:scaling>
          <c:orientation val="minMax"/>
        </c:scaling>
        <c:axPos val="l"/>
        <c:majorGridlines/>
        <c:numFmt formatCode="General" sourceLinked="1"/>
        <c:tickLblPos val="nextTo"/>
        <c:crossAx val="149656704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238125</xdr:colOff>
      <xdr:row>3</xdr:row>
      <xdr:rowOff>104775</xdr:rowOff>
    </xdr:from>
    <xdr:to>
      <xdr:col>11</xdr:col>
      <xdr:colOff>542925</xdr:colOff>
      <xdr:row>16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U42"/>
  <sheetViews>
    <sheetView tabSelected="1" topLeftCell="G21" workbookViewId="0">
      <selection activeCell="H36" sqref="H36"/>
    </sheetView>
  </sheetViews>
  <sheetFormatPr defaultRowHeight="15"/>
  <cols>
    <col min="6" max="6" width="14.28515625" bestFit="1" customWidth="1"/>
    <col min="9" max="9" width="11.5703125" bestFit="1" customWidth="1"/>
    <col min="11" max="12" width="14.28515625" bestFit="1" customWidth="1"/>
    <col min="13" max="13" width="14.42578125" bestFit="1" customWidth="1"/>
    <col min="14" max="18" width="14.28515625" bestFit="1" customWidth="1"/>
  </cols>
  <sheetData>
    <row r="2" spans="1:21">
      <c r="A2" s="1" t="s">
        <v>0</v>
      </c>
      <c r="B2" s="1" t="s">
        <v>1</v>
      </c>
      <c r="C2" s="1" t="s">
        <v>2</v>
      </c>
      <c r="N2" s="1" t="s">
        <v>3</v>
      </c>
      <c r="O2" s="1"/>
      <c r="P2" s="1"/>
      <c r="Q2" s="1" t="s">
        <v>6</v>
      </c>
      <c r="R2" s="1"/>
      <c r="S2" s="1" t="s">
        <v>9</v>
      </c>
      <c r="T2" s="1"/>
    </row>
    <row r="3" spans="1:21">
      <c r="A3" s="1">
        <v>1</v>
      </c>
      <c r="B3" s="1">
        <v>450</v>
      </c>
      <c r="C3" s="1">
        <v>45</v>
      </c>
      <c r="N3" s="1" t="s">
        <v>4</v>
      </c>
      <c r="O3" s="1">
        <v>211.3</v>
      </c>
      <c r="P3" s="1"/>
      <c r="Q3" s="1" t="s">
        <v>7</v>
      </c>
      <c r="R3" s="3">
        <v>5871064</v>
      </c>
      <c r="S3" s="1" t="s">
        <v>7</v>
      </c>
      <c r="T3" s="1">
        <v>466.5</v>
      </c>
    </row>
    <row r="4" spans="1:21">
      <c r="A4" s="1">
        <v>2</v>
      </c>
      <c r="B4" s="1">
        <v>300</v>
      </c>
      <c r="C4" s="1">
        <v>103</v>
      </c>
      <c r="N4" s="1" t="s">
        <v>5</v>
      </c>
      <c r="O4" s="1">
        <v>-0.35399999999999998</v>
      </c>
      <c r="P4" s="1"/>
      <c r="Q4" s="1" t="s">
        <v>8</v>
      </c>
      <c r="R4" s="1">
        <v>-1.9</v>
      </c>
      <c r="S4" s="1" t="s">
        <v>8</v>
      </c>
      <c r="T4" s="1">
        <v>-5.0000000000000001E-3</v>
      </c>
    </row>
    <row r="5" spans="1:21">
      <c r="A5" s="1">
        <v>3</v>
      </c>
      <c r="B5" s="1">
        <v>440</v>
      </c>
      <c r="C5" s="1">
        <v>49</v>
      </c>
    </row>
    <row r="6" spans="1:21" ht="42.75" customHeight="1">
      <c r="A6" s="1">
        <v>4</v>
      </c>
      <c r="B6" s="1">
        <v>360</v>
      </c>
      <c r="C6" s="1">
        <v>86</v>
      </c>
      <c r="N6" s="5" t="s">
        <v>10</v>
      </c>
      <c r="O6" s="5"/>
      <c r="P6" s="5"/>
      <c r="S6" s="4" t="s">
        <v>13</v>
      </c>
      <c r="T6" s="4"/>
      <c r="U6" s="4"/>
    </row>
    <row r="7" spans="1:21">
      <c r="A7" s="1">
        <v>5</v>
      </c>
      <c r="B7" s="1">
        <v>290</v>
      </c>
      <c r="C7" s="1">
        <v>125</v>
      </c>
      <c r="N7" s="1" t="s">
        <v>1</v>
      </c>
      <c r="O7" s="1" t="s">
        <v>3</v>
      </c>
      <c r="P7" s="1" t="s">
        <v>11</v>
      </c>
      <c r="Q7" s="1" t="s">
        <v>12</v>
      </c>
      <c r="R7" s="1" t="s">
        <v>2</v>
      </c>
      <c r="S7" s="1" t="s">
        <v>3</v>
      </c>
      <c r="T7" s="1" t="s">
        <v>11</v>
      </c>
      <c r="U7" s="1" t="s">
        <v>12</v>
      </c>
    </row>
    <row r="8" spans="1:21">
      <c r="A8" s="1">
        <v>6</v>
      </c>
      <c r="B8" s="1">
        <v>450</v>
      </c>
      <c r="C8" s="1">
        <v>52</v>
      </c>
      <c r="N8" s="1">
        <v>450</v>
      </c>
      <c r="O8" s="1">
        <f>$O$4*N8+$O$3</f>
        <v>52.000000000000028</v>
      </c>
      <c r="P8" s="1">
        <f>$R$3*N8^$R$4</f>
        <v>53.408826831360535</v>
      </c>
      <c r="Q8" s="1">
        <f>$T$3*EXP($T$4*N8)</f>
        <v>49.168738258109713</v>
      </c>
      <c r="R8" s="1">
        <v>45</v>
      </c>
      <c r="S8" s="6">
        <f>ABS(O8-R8)/R8</f>
        <v>0.1555555555555562</v>
      </c>
      <c r="T8" s="6">
        <f>ABS(P8-R8)/R8</f>
        <v>0.18686281847467856</v>
      </c>
      <c r="U8" s="6">
        <f>ABS(Q8-R8)/R8</f>
        <v>9.2638627957993616E-2</v>
      </c>
    </row>
    <row r="9" spans="1:21">
      <c r="A9" s="1">
        <v>7</v>
      </c>
      <c r="B9" s="1">
        <v>340</v>
      </c>
      <c r="C9" s="1">
        <v>87</v>
      </c>
      <c r="N9" s="1">
        <v>300</v>
      </c>
      <c r="O9" s="1">
        <f t="shared" ref="O9:O19" si="0">$O$4*N9+$O$3</f>
        <v>105.10000000000002</v>
      </c>
      <c r="P9" s="1">
        <f t="shared" ref="P9:P19" si="1">$R$3*N9^$R$4</f>
        <v>115.39485097900751</v>
      </c>
      <c r="Q9" s="1">
        <f t="shared" ref="Q9:Q19" si="2">$T$3*EXP($T$4*N9)</f>
        <v>104.0902197092425</v>
      </c>
      <c r="R9" s="1">
        <v>103</v>
      </c>
      <c r="S9" s="6">
        <f t="shared" ref="S9:S18" si="3">ABS(O9-R9)/R9</f>
        <v>2.0388349514563326E-2</v>
      </c>
      <c r="T9" s="6">
        <f t="shared" ref="T9:T19" si="4">ABS(P9-R9)/R9</f>
        <v>0.12033835901949044</v>
      </c>
      <c r="U9" s="6">
        <f t="shared" ref="U9:U19" si="5">ABS(Q9-R9)/R9</f>
        <v>1.0584657371286447E-2</v>
      </c>
    </row>
    <row r="10" spans="1:21">
      <c r="A10" s="1">
        <v>8</v>
      </c>
      <c r="B10" s="2">
        <v>370</v>
      </c>
      <c r="C10" s="2">
        <v>68</v>
      </c>
      <c r="N10" s="1">
        <v>440</v>
      </c>
      <c r="O10" s="1">
        <f t="shared" si="0"/>
        <v>55.54000000000002</v>
      </c>
      <c r="P10" s="1">
        <f t="shared" si="1"/>
        <v>55.738686381909964</v>
      </c>
      <c r="Q10" s="1">
        <f t="shared" si="2"/>
        <v>51.68967337602875</v>
      </c>
      <c r="R10" s="1">
        <v>49</v>
      </c>
      <c r="S10" s="6">
        <f t="shared" si="3"/>
        <v>0.13346938775510245</v>
      </c>
      <c r="T10" s="6">
        <f t="shared" si="4"/>
        <v>0.13752421187571356</v>
      </c>
      <c r="U10" s="6">
        <f t="shared" si="5"/>
        <v>5.4891293388341846E-2</v>
      </c>
    </row>
    <row r="11" spans="1:21">
      <c r="A11" s="1">
        <v>9</v>
      </c>
      <c r="B11" s="2">
        <v>500</v>
      </c>
      <c r="C11" s="2">
        <v>45</v>
      </c>
      <c r="N11" s="1">
        <v>360</v>
      </c>
      <c r="O11" s="1">
        <f t="shared" si="0"/>
        <v>83.860000000000014</v>
      </c>
      <c r="P11" s="1">
        <f t="shared" si="1"/>
        <v>81.609752949722136</v>
      </c>
      <c r="Q11" s="1">
        <f t="shared" si="2"/>
        <v>77.111931355370118</v>
      </c>
      <c r="R11" s="1">
        <v>86</v>
      </c>
      <c r="S11" s="6">
        <f t="shared" si="3"/>
        <v>2.48837209302324E-2</v>
      </c>
      <c r="T11" s="6">
        <f t="shared" si="4"/>
        <v>5.1049384305556562E-2</v>
      </c>
      <c r="U11" s="6">
        <f t="shared" si="5"/>
        <v>0.10334963540267306</v>
      </c>
    </row>
    <row r="12" spans="1:21">
      <c r="A12" s="1">
        <v>10</v>
      </c>
      <c r="B12" s="2">
        <v>490</v>
      </c>
      <c r="C12" s="2">
        <v>44</v>
      </c>
      <c r="N12" s="1">
        <v>290</v>
      </c>
      <c r="O12" s="1">
        <f t="shared" si="0"/>
        <v>108.64000000000001</v>
      </c>
      <c r="P12" s="1">
        <f t="shared" si="1"/>
        <v>123.07238551091946</v>
      </c>
      <c r="Q12" s="1">
        <f t="shared" si="2"/>
        <v>109.42703939575661</v>
      </c>
      <c r="R12" s="1">
        <v>125</v>
      </c>
      <c r="S12" s="6">
        <f t="shared" si="3"/>
        <v>0.13087999999999989</v>
      </c>
      <c r="T12" s="6">
        <f t="shared" si="4"/>
        <v>1.5420915912644318E-2</v>
      </c>
      <c r="U12" s="6">
        <f t="shared" si="5"/>
        <v>0.12458368483394713</v>
      </c>
    </row>
    <row r="13" spans="1:21">
      <c r="A13" s="1">
        <v>11</v>
      </c>
      <c r="B13" s="2">
        <v>430</v>
      </c>
      <c r="C13" s="2">
        <v>58</v>
      </c>
      <c r="N13" s="1">
        <v>450</v>
      </c>
      <c r="O13" s="1">
        <f t="shared" si="0"/>
        <v>52.000000000000028</v>
      </c>
      <c r="P13" s="1">
        <f t="shared" si="1"/>
        <v>53.408826831360535</v>
      </c>
      <c r="Q13" s="1">
        <f t="shared" si="2"/>
        <v>49.168738258109713</v>
      </c>
      <c r="R13" s="1">
        <v>52</v>
      </c>
      <c r="S13" s="6">
        <f t="shared" si="3"/>
        <v>5.465713352000771E-16</v>
      </c>
      <c r="T13" s="6">
        <f t="shared" si="4"/>
        <v>2.7092823680010297E-2</v>
      </c>
      <c r="U13" s="6">
        <f t="shared" si="5"/>
        <v>5.4447341190197833E-2</v>
      </c>
    </row>
    <row r="14" spans="1:21">
      <c r="A14" s="1">
        <v>12</v>
      </c>
      <c r="B14" s="2">
        <v>390</v>
      </c>
      <c r="C14" s="2">
        <v>68</v>
      </c>
      <c r="N14" s="1">
        <v>340</v>
      </c>
      <c r="O14" s="1">
        <f t="shared" si="0"/>
        <v>90.940000000000012</v>
      </c>
      <c r="P14" s="1">
        <f t="shared" si="1"/>
        <v>90.971817665398987</v>
      </c>
      <c r="Q14" s="1">
        <f t="shared" si="2"/>
        <v>85.221863970600722</v>
      </c>
      <c r="R14" s="1">
        <v>87</v>
      </c>
      <c r="S14" s="6">
        <f t="shared" si="3"/>
        <v>4.5287356321839216E-2</v>
      </c>
      <c r="T14" s="6">
        <f t="shared" si="4"/>
        <v>4.5653076613781464E-2</v>
      </c>
      <c r="U14" s="6">
        <f t="shared" si="5"/>
        <v>2.0438345165508937E-2</v>
      </c>
    </row>
    <row r="15" spans="1:21">
      <c r="N15" s="2">
        <v>370</v>
      </c>
      <c r="O15" s="1">
        <f t="shared" si="0"/>
        <v>80.320000000000022</v>
      </c>
      <c r="P15" s="1">
        <f t="shared" si="1"/>
        <v>77.469996953057688</v>
      </c>
      <c r="Q15" s="1">
        <f t="shared" si="2"/>
        <v>73.351138085307284</v>
      </c>
      <c r="R15" s="2">
        <v>68</v>
      </c>
      <c r="S15" s="6">
        <f t="shared" si="3"/>
        <v>0.18117647058823561</v>
      </c>
      <c r="T15" s="6">
        <f t="shared" si="4"/>
        <v>0.13926466107437777</v>
      </c>
      <c r="U15" s="6">
        <f t="shared" si="5"/>
        <v>7.8693207136871821E-2</v>
      </c>
    </row>
    <row r="16" spans="1:21">
      <c r="N16" s="2">
        <v>500</v>
      </c>
      <c r="O16" s="1">
        <f t="shared" si="0"/>
        <v>34.300000000000011</v>
      </c>
      <c r="P16" s="1">
        <f t="shared" si="1"/>
        <v>43.719361068146526</v>
      </c>
      <c r="Q16" s="1">
        <f t="shared" si="2"/>
        <v>38.292651858048792</v>
      </c>
      <c r="R16" s="2">
        <v>45</v>
      </c>
      <c r="S16" s="6">
        <f t="shared" si="3"/>
        <v>0.23777777777777753</v>
      </c>
      <c r="T16" s="6">
        <f t="shared" si="4"/>
        <v>2.8458642930077202E-2</v>
      </c>
      <c r="U16" s="6">
        <f t="shared" si="5"/>
        <v>0.14905218093224906</v>
      </c>
    </row>
    <row r="17" spans="3:21">
      <c r="N17" s="2">
        <v>490</v>
      </c>
      <c r="O17" s="1">
        <f t="shared" si="0"/>
        <v>37.840000000000032</v>
      </c>
      <c r="P17" s="1">
        <f t="shared" si="1"/>
        <v>45.430159602944897</v>
      </c>
      <c r="Q17" s="1">
        <f t="shared" si="2"/>
        <v>40.255958101956338</v>
      </c>
      <c r="R17" s="2">
        <v>44</v>
      </c>
      <c r="S17" s="6">
        <f t="shared" si="3"/>
        <v>0.13999999999999926</v>
      </c>
      <c r="T17" s="6">
        <f t="shared" si="4"/>
        <v>3.2503627339656754E-2</v>
      </c>
      <c r="U17" s="6">
        <f t="shared" si="5"/>
        <v>8.5091861319174136E-2</v>
      </c>
    </row>
    <row r="18" spans="3:21">
      <c r="C18" s="4" t="s">
        <v>15</v>
      </c>
      <c r="D18" s="4"/>
      <c r="N18" s="2">
        <v>430</v>
      </c>
      <c r="O18" s="1">
        <f t="shared" si="0"/>
        <v>59.080000000000013</v>
      </c>
      <c r="P18" s="1">
        <f t="shared" si="1"/>
        <v>58.227312961228044</v>
      </c>
      <c r="Q18" s="1">
        <f t="shared" si="2"/>
        <v>54.339859601336336</v>
      </c>
      <c r="R18" s="2">
        <v>58</v>
      </c>
      <c r="S18" s="6">
        <f t="shared" si="3"/>
        <v>1.8620689655172631E-2</v>
      </c>
      <c r="T18" s="6">
        <f t="shared" si="4"/>
        <v>3.9191889866904174E-3</v>
      </c>
      <c r="U18" s="6">
        <f t="shared" si="5"/>
        <v>6.3105868942476967E-2</v>
      </c>
    </row>
    <row r="19" spans="3:21">
      <c r="C19" t="s">
        <v>16</v>
      </c>
      <c r="D19" s="11">
        <v>250</v>
      </c>
      <c r="E19" t="s">
        <v>19</v>
      </c>
      <c r="N19" s="2">
        <v>390</v>
      </c>
      <c r="O19" s="1">
        <f t="shared" si="0"/>
        <v>73.240000000000009</v>
      </c>
      <c r="P19" s="1">
        <f t="shared" si="1"/>
        <v>70.096133225940946</v>
      </c>
      <c r="Q19" s="1">
        <f t="shared" si="2"/>
        <v>66.370854395108594</v>
      </c>
      <c r="R19" s="2">
        <v>68</v>
      </c>
      <c r="S19" s="6">
        <f>ABS(O19-R19)/R19</f>
        <v>7.7058823529411902E-2</v>
      </c>
      <c r="T19" s="6">
        <f t="shared" si="4"/>
        <v>3.0825488616778616E-2</v>
      </c>
      <c r="U19" s="6">
        <f t="shared" si="5"/>
        <v>2.3958023601344202E-2</v>
      </c>
    </row>
    <row r="20" spans="3:21">
      <c r="C20" t="s">
        <v>17</v>
      </c>
      <c r="D20" s="12">
        <v>400</v>
      </c>
      <c r="E20" t="s">
        <v>20</v>
      </c>
      <c r="R20" s="7" t="s">
        <v>14</v>
      </c>
      <c r="S20" s="8">
        <f>AVERAGE(S8:S19)</f>
        <v>9.7091510968990921E-2</v>
      </c>
      <c r="T20" s="8">
        <f>AVERAGE(T8:T19)</f>
        <v>6.8242766569121316E-2</v>
      </c>
      <c r="U20" s="8">
        <f>AVERAGE(U9:U19)</f>
        <v>6.983600902582468E-2</v>
      </c>
    </row>
    <row r="21" spans="3:21">
      <c r="C21" t="s">
        <v>2</v>
      </c>
      <c r="D21" s="9"/>
      <c r="E21" t="s">
        <v>18</v>
      </c>
      <c r="G21" t="s">
        <v>23</v>
      </c>
      <c r="I21" t="s">
        <v>24</v>
      </c>
      <c r="K21" t="s">
        <v>29</v>
      </c>
      <c r="M21" t="s">
        <v>32</v>
      </c>
    </row>
    <row r="22" spans="3:21">
      <c r="D22" s="13">
        <f>R3*D20^R4</f>
        <v>66.804055950469461</v>
      </c>
      <c r="E22" t="s">
        <v>21</v>
      </c>
      <c r="G22">
        <f>D22*100</f>
        <v>6680.4055950469465</v>
      </c>
      <c r="H22" t="s">
        <v>27</v>
      </c>
      <c r="I22" s="10">
        <f>D19*D22</f>
        <v>16701.013987617367</v>
      </c>
      <c r="J22" s="14" t="s">
        <v>25</v>
      </c>
      <c r="K22" s="10">
        <f>G22*D20</f>
        <v>2672162.2380187786</v>
      </c>
      <c r="L22" t="s">
        <v>30</v>
      </c>
      <c r="M22" s="10">
        <f>K22-I22</f>
        <v>2655461.2240311611</v>
      </c>
      <c r="N22" t="s">
        <v>33</v>
      </c>
    </row>
    <row r="23" spans="3:21">
      <c r="D23" s="13">
        <f>T3*EXP(T4*D20)</f>
        <v>63.133909629879824</v>
      </c>
      <c r="E23" s="1" t="s">
        <v>22</v>
      </c>
      <c r="G23">
        <f>D23*100</f>
        <v>6313.3909629879827</v>
      </c>
      <c r="H23" t="s">
        <v>28</v>
      </c>
      <c r="I23" s="10">
        <f>D19*D23</f>
        <v>15783.477407469956</v>
      </c>
      <c r="J23" t="s">
        <v>26</v>
      </c>
      <c r="K23" s="10">
        <f>G23*D20</f>
        <v>2525356.3851951929</v>
      </c>
      <c r="L23" t="s">
        <v>31</v>
      </c>
      <c r="M23" s="10">
        <f>K23-I23</f>
        <v>2509572.907787723</v>
      </c>
      <c r="N23" t="s">
        <v>34</v>
      </c>
    </row>
    <row r="26" spans="3:21">
      <c r="E26" s="15" t="s">
        <v>21</v>
      </c>
      <c r="F26" s="15"/>
      <c r="L26" s="4" t="s">
        <v>21</v>
      </c>
      <c r="M26" s="4"/>
    </row>
    <row r="27" spans="3:21">
      <c r="E27" t="s">
        <v>1</v>
      </c>
      <c r="F27" t="s">
        <v>32</v>
      </c>
      <c r="J27" s="1"/>
      <c r="K27" s="1"/>
      <c r="L27" s="16" t="s">
        <v>16</v>
      </c>
      <c r="M27" s="16"/>
      <c r="N27" s="16"/>
      <c r="O27" s="16"/>
      <c r="P27" s="16"/>
      <c r="Q27" s="16"/>
      <c r="R27" s="16"/>
    </row>
    <row r="28" spans="3:21">
      <c r="F28" s="10">
        <f>M22</f>
        <v>2655461.2240311611</v>
      </c>
      <c r="J28" s="1"/>
      <c r="K28" s="17">
        <f>M22</f>
        <v>2655461.2240311611</v>
      </c>
      <c r="L28" s="1">
        <v>250</v>
      </c>
      <c r="M28" s="1">
        <v>300</v>
      </c>
      <c r="N28" s="1">
        <v>350</v>
      </c>
      <c r="O28" s="1">
        <v>400</v>
      </c>
      <c r="P28" s="1">
        <v>450</v>
      </c>
      <c r="Q28" s="1">
        <v>500</v>
      </c>
      <c r="R28" s="1">
        <v>550</v>
      </c>
    </row>
    <row r="29" spans="3:21">
      <c r="E29">
        <v>260</v>
      </c>
      <c r="F29" s="11">
        <f t="dataTable" ref="F29:F42" dt2D="0" dtr="0" r1="D20"/>
        <v>3899821.1192473043</v>
      </c>
      <c r="J29" s="18" t="s">
        <v>1</v>
      </c>
      <c r="K29" s="1">
        <v>260</v>
      </c>
      <c r="L29" s="19">
        <f t="dataTable" ref="L29:R42" dt2D="1" dtr="1" r1="D19" r2="D20" ca="1"/>
        <v>3899821.1192473043</v>
      </c>
      <c r="M29" s="19">
        <v>3892248.6510545914</v>
      </c>
      <c r="N29" s="19">
        <v>3884676.1828618781</v>
      </c>
      <c r="O29" s="19">
        <v>3877103.7146691647</v>
      </c>
      <c r="P29" s="19">
        <v>3869531.2464764514</v>
      </c>
      <c r="Q29" s="19">
        <v>3861958.7782837385</v>
      </c>
      <c r="R29" s="19">
        <v>3854386.3100910252</v>
      </c>
    </row>
    <row r="30" spans="3:21">
      <c r="E30">
        <v>270</v>
      </c>
      <c r="F30" s="11">
        <v>3770938.4955393071</v>
      </c>
      <c r="J30" s="18"/>
      <c r="K30" s="1">
        <v>270</v>
      </c>
      <c r="L30" s="19">
        <v>3770938.4955393071</v>
      </c>
      <c r="M30" s="19">
        <v>3763890.0123700746</v>
      </c>
      <c r="N30" s="19">
        <v>3756841.5292008421</v>
      </c>
      <c r="O30" s="19">
        <v>3749793.0460316101</v>
      </c>
      <c r="P30" s="19">
        <v>3742744.5628623776</v>
      </c>
      <c r="Q30" s="19">
        <v>3735696.0796931451</v>
      </c>
      <c r="R30" s="19">
        <v>3728647.5965239126</v>
      </c>
    </row>
    <row r="31" spans="3:21">
      <c r="E31">
        <v>280</v>
      </c>
      <c r="F31" s="11">
        <v>3650728.5529150888</v>
      </c>
      <c r="J31" s="18"/>
      <c r="K31" s="1">
        <v>280</v>
      </c>
      <c r="L31" s="19">
        <v>3650728.5529150888</v>
      </c>
      <c r="M31" s="19">
        <v>3644150.6636305572</v>
      </c>
      <c r="N31" s="19">
        <v>3637572.7743460252</v>
      </c>
      <c r="O31" s="19">
        <v>3630994.8850614936</v>
      </c>
      <c r="P31" s="19">
        <v>3624416.995776962</v>
      </c>
      <c r="Q31" s="19">
        <v>3617839.1064924304</v>
      </c>
      <c r="R31" s="19">
        <v>3611261.2172078984</v>
      </c>
    </row>
    <row r="32" spans="3:21">
      <c r="E32">
        <v>290</v>
      </c>
      <c r="F32" s="11">
        <v>3538331.0834389348</v>
      </c>
      <c r="J32" s="18"/>
      <c r="K32" s="1">
        <v>290</v>
      </c>
      <c r="L32" s="19">
        <v>3538331.0834389348</v>
      </c>
      <c r="M32" s="19">
        <v>3532177.4641633891</v>
      </c>
      <c r="N32" s="19">
        <v>3526023.8448878429</v>
      </c>
      <c r="O32" s="19">
        <v>3519870.2256122967</v>
      </c>
      <c r="P32" s="19">
        <v>3513716.606336751</v>
      </c>
      <c r="Q32" s="19">
        <v>3507562.9870612049</v>
      </c>
      <c r="R32" s="19">
        <v>3501409.3677856592</v>
      </c>
    </row>
    <row r="33" spans="5:18">
      <c r="E33">
        <v>300</v>
      </c>
      <c r="F33" s="11">
        <v>3432996.8166254736</v>
      </c>
      <c r="J33" s="18"/>
      <c r="K33" s="1">
        <v>300</v>
      </c>
      <c r="L33" s="19">
        <v>3432996.8166254736</v>
      </c>
      <c r="M33" s="19">
        <v>3427227.0740765231</v>
      </c>
      <c r="N33" s="19">
        <v>3421457.3315275731</v>
      </c>
      <c r="O33" s="19">
        <v>3415687.5889786226</v>
      </c>
      <c r="P33" s="19">
        <v>3409917.8464296721</v>
      </c>
      <c r="Q33" s="19">
        <v>3404148.1038807216</v>
      </c>
      <c r="R33" s="19">
        <v>3398378.3613317716</v>
      </c>
    </row>
    <row r="34" spans="5:18">
      <c r="E34">
        <v>310</v>
      </c>
      <c r="F34" s="11">
        <v>3334070.0205938965</v>
      </c>
      <c r="J34" s="18"/>
      <c r="K34" s="1">
        <v>310</v>
      </c>
      <c r="L34" s="19">
        <v>3334070.0205938965</v>
      </c>
      <c r="M34" s="19">
        <v>3328648.7685278901</v>
      </c>
      <c r="N34" s="19">
        <v>3323227.5164618837</v>
      </c>
      <c r="O34" s="19">
        <v>3317806.2643958773</v>
      </c>
      <c r="P34" s="19">
        <v>3312385.0123298713</v>
      </c>
      <c r="Q34" s="19">
        <v>3306963.7602638649</v>
      </c>
      <c r="R34" s="19">
        <v>3301542.5081978585</v>
      </c>
    </row>
    <row r="35" spans="5:18">
      <c r="E35">
        <v>320</v>
      </c>
      <c r="F35" s="11">
        <v>3240974.2867044895</v>
      </c>
      <c r="J35" s="18"/>
      <c r="K35" s="1">
        <v>320</v>
      </c>
      <c r="L35" s="19">
        <v>3240974.2867044895</v>
      </c>
      <c r="M35" s="19">
        <v>3235870.3901899941</v>
      </c>
      <c r="N35" s="19">
        <v>3230766.4936754992</v>
      </c>
      <c r="O35" s="19">
        <v>3225662.5971610039</v>
      </c>
      <c r="P35" s="19">
        <v>3220558.7006465085</v>
      </c>
      <c r="Q35" s="19">
        <v>3215454.8041320131</v>
      </c>
      <c r="R35" s="19">
        <v>3210350.9076175182</v>
      </c>
    </row>
    <row r="36" spans="5:18">
      <c r="E36">
        <v>330</v>
      </c>
      <c r="F36" s="11">
        <v>3153200.8370057694</v>
      </c>
      <c r="J36" s="18"/>
      <c r="K36" s="1">
        <v>330</v>
      </c>
      <c r="L36" s="19">
        <v>3153200.8370057694</v>
      </c>
      <c r="M36" s="19">
        <v>3148386.7899263711</v>
      </c>
      <c r="N36" s="19">
        <v>3143572.7428469732</v>
      </c>
      <c r="O36" s="19">
        <v>3138758.6957675749</v>
      </c>
      <c r="P36" s="19">
        <v>3133944.6486881766</v>
      </c>
      <c r="Q36" s="19">
        <v>3129130.6016087788</v>
      </c>
      <c r="R36" s="19">
        <v>3124316.5545293805</v>
      </c>
    </row>
    <row r="37" spans="5:18">
      <c r="E37">
        <v>340</v>
      </c>
      <c r="F37" s="11">
        <v>3070298.8462072164</v>
      </c>
      <c r="J37" s="18"/>
      <c r="K37" s="1">
        <v>340</v>
      </c>
      <c r="L37" s="19">
        <v>3070298.8462072164</v>
      </c>
      <c r="M37" s="19">
        <v>3065750.255323946</v>
      </c>
      <c r="N37" s="19">
        <v>3061201.6644406761</v>
      </c>
      <c r="O37" s="19">
        <v>3056653.0735574062</v>
      </c>
      <c r="P37" s="19">
        <v>3052104.4826741363</v>
      </c>
      <c r="Q37" s="19">
        <v>3047555.8917908664</v>
      </c>
      <c r="R37" s="19">
        <v>3043007.3009075965</v>
      </c>
    </row>
    <row r="38" spans="5:18">
      <c r="E38">
        <v>350</v>
      </c>
      <c r="F38" s="11">
        <v>2991867.3838070342</v>
      </c>
      <c r="J38" s="18"/>
      <c r="K38" s="1">
        <v>350</v>
      </c>
      <c r="L38" s="19">
        <v>2991867.3838070342</v>
      </c>
      <c r="M38" s="19">
        <v>2987562.5386504778</v>
      </c>
      <c r="N38" s="19">
        <v>2983257.6934939208</v>
      </c>
      <c r="O38" s="19">
        <v>2978952.8483373639</v>
      </c>
      <c r="P38" s="19">
        <v>2974648.003180807</v>
      </c>
      <c r="Q38" s="19">
        <v>2970343.1580242501</v>
      </c>
      <c r="R38" s="19">
        <v>2966038.3128676931</v>
      </c>
    </row>
    <row r="39" spans="5:18">
      <c r="E39">
        <v>360</v>
      </c>
      <c r="F39" s="11">
        <v>2917548.6679525664</v>
      </c>
      <c r="J39" s="18"/>
      <c r="K39" s="1">
        <v>360</v>
      </c>
      <c r="L39" s="19">
        <v>2917548.6679525664</v>
      </c>
      <c r="M39" s="19">
        <v>2913468.1803050805</v>
      </c>
      <c r="N39" s="19">
        <v>2909387.6926575941</v>
      </c>
      <c r="O39" s="19">
        <v>2905307.2050101082</v>
      </c>
      <c r="P39" s="19">
        <v>2901226.7173626218</v>
      </c>
      <c r="Q39" s="19">
        <v>2897146.2297151359</v>
      </c>
      <c r="R39" s="19">
        <v>2893065.74206765</v>
      </c>
    </row>
    <row r="40" spans="5:18">
      <c r="E40">
        <v>370</v>
      </c>
      <c r="F40" s="11">
        <v>2847022.3880248703</v>
      </c>
      <c r="J40" s="18"/>
      <c r="K40" s="1">
        <v>370</v>
      </c>
      <c r="L40" s="19">
        <v>2847022.3880248703</v>
      </c>
      <c r="M40" s="19">
        <v>2843148.8881772174</v>
      </c>
      <c r="N40" s="19">
        <v>2839275.3883295646</v>
      </c>
      <c r="O40" s="19">
        <v>2835401.8884819117</v>
      </c>
      <c r="P40" s="19">
        <v>2831528.3886342584</v>
      </c>
      <c r="Q40" s="19">
        <v>2827654.8887866056</v>
      </c>
      <c r="R40" s="19">
        <v>2823781.3889389527</v>
      </c>
    </row>
    <row r="41" spans="5:18">
      <c r="E41">
        <v>380</v>
      </c>
      <c r="F41" s="11">
        <v>2780000.9031316424</v>
      </c>
      <c r="J41" s="18"/>
      <c r="K41" s="1">
        <v>380</v>
      </c>
      <c r="L41" s="19">
        <v>2780000.9031316424</v>
      </c>
      <c r="M41" s="19">
        <v>2776318.7827301435</v>
      </c>
      <c r="N41" s="19">
        <v>2772636.6623286447</v>
      </c>
      <c r="O41" s="19">
        <v>2768954.5419271458</v>
      </c>
      <c r="P41" s="19">
        <v>2765272.4215256469</v>
      </c>
      <c r="Q41" s="19">
        <v>2761590.3011241481</v>
      </c>
      <c r="R41" s="19">
        <v>2757908.1807226492</v>
      </c>
    </row>
    <row r="42" spans="5:18">
      <c r="E42">
        <v>390</v>
      </c>
      <c r="F42" s="11">
        <v>2716225.1625052118</v>
      </c>
      <c r="J42" s="18"/>
      <c r="K42" s="1">
        <v>390</v>
      </c>
      <c r="L42" s="19">
        <v>2716225.1625052118</v>
      </c>
      <c r="M42" s="19">
        <v>2712720.3558439147</v>
      </c>
      <c r="N42" s="19">
        <v>2709215.5491826176</v>
      </c>
      <c r="O42" s="19">
        <v>2705710.7425213205</v>
      </c>
      <c r="P42" s="19">
        <v>2702205.9358600234</v>
      </c>
      <c r="Q42" s="19">
        <v>2698701.1291987263</v>
      </c>
      <c r="R42" s="19">
        <v>2695196.3225374292</v>
      </c>
    </row>
  </sheetData>
  <mergeCells count="6">
    <mergeCell ref="N6:P6"/>
    <mergeCell ref="S6:U6"/>
    <mergeCell ref="C18:D18"/>
    <mergeCell ref="L26:M26"/>
    <mergeCell ref="J29:J42"/>
    <mergeCell ref="L27:R27"/>
  </mergeCells>
  <conditionalFormatting sqref="F28:F42">
    <cfRule type="cellIs" dxfId="8" priority="5" operator="equal">
      <formula>3277641.172</formula>
    </cfRule>
  </conditionalFormatting>
  <conditionalFormatting sqref="F29:F42">
    <cfRule type="cellIs" dxfId="7" priority="4" operator="equal">
      <formula>3308023.141</formula>
    </cfRule>
    <cfRule type="cellIs" dxfId="6" priority="3" operator="equal">
      <formula>3308023</formula>
    </cfRule>
    <cfRule type="cellIs" dxfId="5" priority="2" operator="equal">
      <formula>3308023</formula>
    </cfRule>
  </conditionalFormatting>
  <conditionalFormatting sqref="L28:L42">
    <cfRule type="cellIs" dxfId="0" priority="1" operator="equal">
      <formula>$K$34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JCT</dc:creator>
  <cp:lastModifiedBy>JCT</cp:lastModifiedBy>
  <dcterms:created xsi:type="dcterms:W3CDTF">2026-06-07T11:53:15Z</dcterms:created>
  <dcterms:modified xsi:type="dcterms:W3CDTF">2026-06-07T14:08:10Z</dcterms:modified>
</cp:coreProperties>
</file>