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3" i="1"/>
  <c r="B11"/>
  <c r="B10"/>
  <c r="B16" s="1"/>
  <c r="B19" s="1"/>
  <c r="J5" s="1"/>
</calcChain>
</file>

<file path=xl/sharedStrings.xml><?xml version="1.0" encoding="utf-8"?>
<sst xmlns="http://schemas.openxmlformats.org/spreadsheetml/2006/main" count="22" uniqueCount="22">
  <si>
    <t>BN Book Store</t>
  </si>
  <si>
    <t>Regular Price</t>
  </si>
  <si>
    <t>Order</t>
  </si>
  <si>
    <t>Ordered</t>
  </si>
  <si>
    <t>Unit cost</t>
  </si>
  <si>
    <t>At least</t>
  </si>
  <si>
    <t>Demand</t>
  </si>
  <si>
    <t>(500 to 4500)</t>
  </si>
  <si>
    <t>Surplus</t>
  </si>
  <si>
    <t>way 2</t>
  </si>
  <si>
    <t>B8-B7</t>
  </si>
  <si>
    <t>IF(B7&gt;B8,0,B8-B7)</t>
  </si>
  <si>
    <t>Cost</t>
  </si>
  <si>
    <t>Revenue</t>
  </si>
  <si>
    <t>Profit</t>
  </si>
  <si>
    <t>B16-B13</t>
  </si>
  <si>
    <t>VLOOKUP(B8,F3:G8,2,TRUE)*B7</t>
  </si>
  <si>
    <t>Sale Price</t>
  </si>
  <si>
    <t>MIN(B7:B8)*B3+B10*B4</t>
  </si>
  <si>
    <t>DEMAND</t>
  </si>
  <si>
    <t>order</t>
  </si>
  <si>
    <t>Data Table</t>
  </si>
</sst>
</file>

<file path=xl/styles.xml><?xml version="1.0" encoding="utf-8"?>
<styleSheet xmlns="http://schemas.openxmlformats.org/spreadsheetml/2006/main">
  <numFmts count="1">
    <numFmt numFmtId="167" formatCode="_ &quot;₹&quot;\ * #,##0_ ;_ &quot;₹&quot;\ * \-#,##0_ ;_ &quot;₹&quot;\ * &quot;-&quot;??_ ;_ @_ 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>
      <alignment horizontal="center"/>
    </xf>
    <xf numFmtId="167" fontId="0" fillId="0" borderId="0" xfId="0" applyNumberFormat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167" fontId="0" fillId="4" borderId="1" xfId="0" applyNumberFormat="1" applyFill="1" applyBorder="1"/>
    <xf numFmtId="167" fontId="0" fillId="4" borderId="0" xfId="0" applyNumberFormat="1" applyFill="1"/>
    <xf numFmtId="0" fontId="0" fillId="5" borderId="0" xfId="0" applyFill="1" applyAlignment="1">
      <alignment horizontal="center"/>
    </xf>
  </cellXfs>
  <cellStyles count="2">
    <cellStyle name="60% - Accent2" xfId="1" builtinId="3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>
      <selection activeCell="H19" sqref="H19"/>
    </sheetView>
  </sheetViews>
  <sheetFormatPr defaultRowHeight="15"/>
  <cols>
    <col min="2" max="2" width="12.5703125" bestFit="1" customWidth="1"/>
  </cols>
  <sheetData>
    <row r="1" spans="1:19">
      <c r="A1" s="1" t="s">
        <v>0</v>
      </c>
      <c r="B1" s="1"/>
    </row>
    <row r="2" spans="1:19">
      <c r="F2" t="s">
        <v>5</v>
      </c>
      <c r="M2" s="9" t="s">
        <v>21</v>
      </c>
      <c r="N2" s="9"/>
      <c r="O2" s="9"/>
    </row>
    <row r="3" spans="1:19">
      <c r="A3" t="s">
        <v>1</v>
      </c>
      <c r="B3" s="2">
        <v>30</v>
      </c>
      <c r="F3" s="4" t="s">
        <v>3</v>
      </c>
      <c r="G3" s="4" t="s">
        <v>4</v>
      </c>
    </row>
    <row r="4" spans="1:19">
      <c r="A4" t="s">
        <v>17</v>
      </c>
      <c r="B4" s="2">
        <v>10</v>
      </c>
      <c r="F4" s="4">
        <v>0</v>
      </c>
      <c r="G4" s="4">
        <v>24</v>
      </c>
      <c r="I4" s="4"/>
      <c r="J4" s="4"/>
      <c r="K4" s="5" t="s">
        <v>19</v>
      </c>
      <c r="L4" s="5"/>
      <c r="M4" s="5"/>
      <c r="N4" s="5"/>
      <c r="O4" s="5"/>
      <c r="P4" s="5"/>
      <c r="Q4" s="5"/>
      <c r="R4" s="5"/>
      <c r="S4" s="5"/>
    </row>
    <row r="5" spans="1:19">
      <c r="F5" s="4">
        <v>1000</v>
      </c>
      <c r="G5" s="4">
        <v>23</v>
      </c>
      <c r="I5" s="6" t="s">
        <v>20</v>
      </c>
      <c r="J5" s="7">
        <f>B19</f>
        <v>19150</v>
      </c>
      <c r="K5" s="4">
        <v>500</v>
      </c>
      <c r="L5" s="4">
        <v>1000</v>
      </c>
      <c r="M5" s="4">
        <v>1500</v>
      </c>
      <c r="N5" s="4">
        <v>2000</v>
      </c>
      <c r="O5" s="4">
        <v>2500</v>
      </c>
      <c r="P5" s="4">
        <v>3000</v>
      </c>
      <c r="Q5" s="4">
        <v>3500</v>
      </c>
      <c r="R5" s="4">
        <v>4000</v>
      </c>
      <c r="S5" s="4">
        <v>4500</v>
      </c>
    </row>
    <row r="6" spans="1:19">
      <c r="F6" s="4">
        <v>2000</v>
      </c>
      <c r="G6" s="4">
        <v>22.25</v>
      </c>
      <c r="I6" s="6"/>
      <c r="J6" s="4">
        <v>500</v>
      </c>
      <c r="K6" s="4">
        <f t="dataTable" ref="K6:S14" dt2D="1" dtr="1" r1="B7" r2="B8"/>
        <v>3000</v>
      </c>
      <c r="L6" s="4">
        <v>-14000</v>
      </c>
      <c r="M6" s="4">
        <v>-31000</v>
      </c>
      <c r="N6" s="4">
        <v>-48000</v>
      </c>
      <c r="O6" s="4">
        <v>-65000</v>
      </c>
      <c r="P6" s="4">
        <v>-82000</v>
      </c>
      <c r="Q6" s="4">
        <v>-99000</v>
      </c>
      <c r="R6" s="4">
        <v>-116000</v>
      </c>
      <c r="S6" s="4">
        <v>-133000</v>
      </c>
    </row>
    <row r="7" spans="1:19">
      <c r="A7" t="s">
        <v>6</v>
      </c>
      <c r="B7" s="3">
        <v>4500</v>
      </c>
      <c r="C7" t="s">
        <v>7</v>
      </c>
      <c r="F7" s="4">
        <v>3000</v>
      </c>
      <c r="G7" s="4">
        <v>21.75</v>
      </c>
      <c r="I7" s="6"/>
      <c r="J7" s="4">
        <v>1000</v>
      </c>
      <c r="K7" s="4">
        <v>8500</v>
      </c>
      <c r="L7" s="4">
        <v>7000</v>
      </c>
      <c r="M7" s="4">
        <v>-9500</v>
      </c>
      <c r="N7" s="4">
        <v>-26000</v>
      </c>
      <c r="O7" s="4">
        <v>-42500</v>
      </c>
      <c r="P7" s="4">
        <v>-59000</v>
      </c>
      <c r="Q7" s="4">
        <v>-75500</v>
      </c>
      <c r="R7" s="4">
        <v>-92000</v>
      </c>
      <c r="S7" s="4">
        <v>-108500</v>
      </c>
    </row>
    <row r="8" spans="1:19">
      <c r="A8" t="s">
        <v>2</v>
      </c>
      <c r="B8" s="3">
        <v>4000</v>
      </c>
      <c r="F8" s="4">
        <v>4000</v>
      </c>
      <c r="G8" s="4">
        <v>21.3</v>
      </c>
      <c r="I8" s="6"/>
      <c r="J8" s="4">
        <v>1500</v>
      </c>
      <c r="K8" s="4">
        <v>13500</v>
      </c>
      <c r="L8" s="4">
        <v>12000</v>
      </c>
      <c r="M8" s="4">
        <v>10500</v>
      </c>
      <c r="N8" s="4">
        <v>-6000</v>
      </c>
      <c r="O8" s="4">
        <v>-22500</v>
      </c>
      <c r="P8" s="4">
        <v>-39000</v>
      </c>
      <c r="Q8" s="4">
        <v>-55500</v>
      </c>
      <c r="R8" s="4">
        <v>-72000</v>
      </c>
      <c r="S8" s="4">
        <v>-88500</v>
      </c>
    </row>
    <row r="9" spans="1:19">
      <c r="I9" s="6"/>
      <c r="J9" s="4">
        <v>2000</v>
      </c>
      <c r="K9" s="4">
        <v>18875</v>
      </c>
      <c r="L9" s="4">
        <v>17750</v>
      </c>
      <c r="M9" s="4">
        <v>16625</v>
      </c>
      <c r="N9" s="4">
        <v>15500</v>
      </c>
      <c r="O9" s="4">
        <v>-625</v>
      </c>
      <c r="P9" s="4">
        <v>-16750</v>
      </c>
      <c r="Q9" s="4">
        <v>-32875</v>
      </c>
      <c r="R9" s="4">
        <v>-49000</v>
      </c>
      <c r="S9" s="4">
        <v>-65125</v>
      </c>
    </row>
    <row r="10" spans="1:19">
      <c r="A10" t="s">
        <v>8</v>
      </c>
      <c r="B10">
        <f>B8-B7</f>
        <v>-500</v>
      </c>
      <c r="C10" t="s">
        <v>10</v>
      </c>
      <c r="I10" s="6"/>
      <c r="J10" s="4">
        <v>2500</v>
      </c>
      <c r="K10" s="4">
        <v>23875</v>
      </c>
      <c r="L10" s="4">
        <v>22750</v>
      </c>
      <c r="M10" s="4">
        <v>21625</v>
      </c>
      <c r="N10" s="4">
        <v>20500</v>
      </c>
      <c r="O10" s="4">
        <v>19375</v>
      </c>
      <c r="P10" s="4">
        <v>3250</v>
      </c>
      <c r="Q10" s="4">
        <v>-12875</v>
      </c>
      <c r="R10" s="4">
        <v>-29000</v>
      </c>
      <c r="S10" s="4">
        <v>-45125</v>
      </c>
    </row>
    <row r="11" spans="1:19">
      <c r="A11" t="s">
        <v>9</v>
      </c>
      <c r="B11">
        <f>IF(B7&gt;B8,0,B10)</f>
        <v>0</v>
      </c>
      <c r="C11" t="s">
        <v>11</v>
      </c>
      <c r="I11" s="6"/>
      <c r="J11" s="4">
        <v>3000</v>
      </c>
      <c r="K11" s="4">
        <v>29125</v>
      </c>
      <c r="L11" s="4">
        <v>28250</v>
      </c>
      <c r="M11" s="4">
        <v>27375</v>
      </c>
      <c r="N11" s="4">
        <v>26500</v>
      </c>
      <c r="O11" s="4">
        <v>25625</v>
      </c>
      <c r="P11" s="4">
        <v>24750</v>
      </c>
      <c r="Q11" s="4">
        <v>8875</v>
      </c>
      <c r="R11" s="4">
        <v>-7000</v>
      </c>
      <c r="S11" s="4">
        <v>-22875</v>
      </c>
    </row>
    <row r="12" spans="1:19">
      <c r="I12" s="6"/>
      <c r="J12" s="4">
        <v>3500</v>
      </c>
      <c r="K12" s="4">
        <v>34125</v>
      </c>
      <c r="L12" s="4">
        <v>33250</v>
      </c>
      <c r="M12" s="4">
        <v>32375</v>
      </c>
      <c r="N12" s="4">
        <v>31500</v>
      </c>
      <c r="O12" s="4">
        <v>30625</v>
      </c>
      <c r="P12" s="4">
        <v>29750</v>
      </c>
      <c r="Q12" s="4">
        <v>28875</v>
      </c>
      <c r="R12" s="4">
        <v>13000</v>
      </c>
      <c r="S12" s="4">
        <v>-2875</v>
      </c>
    </row>
    <row r="13" spans="1:19">
      <c r="A13" t="s">
        <v>12</v>
      </c>
      <c r="B13" s="2">
        <f>VLOOKUP(B8,F3:G8,2,TRUE)*B7</f>
        <v>95850</v>
      </c>
      <c r="C13" t="s">
        <v>16</v>
      </c>
      <c r="I13" s="6"/>
      <c r="J13" s="4">
        <v>4000</v>
      </c>
      <c r="K13" s="4">
        <v>39350</v>
      </c>
      <c r="L13" s="4">
        <v>38700</v>
      </c>
      <c r="M13" s="4">
        <v>38050</v>
      </c>
      <c r="N13" s="4">
        <v>37400</v>
      </c>
      <c r="O13" s="4">
        <v>36750</v>
      </c>
      <c r="P13" s="4">
        <v>36100</v>
      </c>
      <c r="Q13" s="4">
        <v>35450</v>
      </c>
      <c r="R13" s="4">
        <v>34800</v>
      </c>
      <c r="S13" s="4">
        <v>19150</v>
      </c>
    </row>
    <row r="14" spans="1:19">
      <c r="I14" s="6"/>
      <c r="J14" s="4">
        <v>4500</v>
      </c>
      <c r="K14" s="4">
        <v>44350</v>
      </c>
      <c r="L14" s="4">
        <v>43700</v>
      </c>
      <c r="M14" s="4">
        <v>43050</v>
      </c>
      <c r="N14" s="4">
        <v>42400</v>
      </c>
      <c r="O14" s="4">
        <v>41750</v>
      </c>
      <c r="P14" s="4">
        <v>41100</v>
      </c>
      <c r="Q14" s="4">
        <v>40450</v>
      </c>
      <c r="R14" s="4">
        <v>39800</v>
      </c>
      <c r="S14" s="4">
        <v>39150</v>
      </c>
    </row>
    <row r="16" spans="1:19">
      <c r="A16" t="s">
        <v>13</v>
      </c>
      <c r="B16" s="2">
        <f>MIN(B7:B8)*B3+B10*B4</f>
        <v>115000</v>
      </c>
      <c r="C16" t="s">
        <v>18</v>
      </c>
    </row>
    <row r="19" spans="1:3">
      <c r="A19" t="s">
        <v>14</v>
      </c>
      <c r="B19" s="8">
        <f>B16-B13</f>
        <v>19150</v>
      </c>
      <c r="C19" t="s">
        <v>15</v>
      </c>
    </row>
  </sheetData>
  <mergeCells count="4">
    <mergeCell ref="A1:B1"/>
    <mergeCell ref="K4:S4"/>
    <mergeCell ref="I5:I14"/>
    <mergeCell ref="M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JCT</dc:creator>
  <cp:lastModifiedBy>JCT</cp:lastModifiedBy>
  <dcterms:created xsi:type="dcterms:W3CDTF">2026-06-07T07:43:27Z</dcterms:created>
  <dcterms:modified xsi:type="dcterms:W3CDTF">2026-06-07T08:32:50Z</dcterms:modified>
</cp:coreProperties>
</file>